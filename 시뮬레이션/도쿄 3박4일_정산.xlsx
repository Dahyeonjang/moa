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내역" state="visible" r:id="rId4"/>
    <sheet sheetId="2" name="정산 요약" state="visible" r:id="rId5"/>
    <sheet sheetId="3" name="항목별 합계" state="visible" r:id="rId6"/>
  </sheets>
  <calcPr calcId="171027"/>
</workbook>
</file>

<file path=xl/sharedStrings.xml><?xml version="1.0" encoding="utf-8"?>
<sst xmlns="http://schemas.openxmlformats.org/spreadsheetml/2006/main" count="119" uniqueCount="63">
  <si>
    <t>날짜</t>
  </si>
  <si>
    <t>구분</t>
  </si>
  <si>
    <t>항목</t>
  </si>
  <si>
    <t>내용</t>
  </si>
  <si>
    <t>외화</t>
  </si>
  <si>
    <t>금액(원)</t>
  </si>
  <si>
    <t>결제자</t>
  </si>
  <si>
    <t>인원</t>
  </si>
  <si>
    <t>다현</t>
  </si>
  <si>
    <t>지은</t>
  </si>
  <si>
    <t>서준</t>
  </si>
  <si>
    <t>하윤</t>
  </si>
  <si>
    <t>부호</t>
  </si>
  <si>
    <t>2026-07-01</t>
  </si>
  <si>
    <t>회비</t>
  </si>
  <si>
    <t/>
  </si>
  <si>
    <t>2026-07-05</t>
  </si>
  <si>
    <t>지출</t>
  </si>
  <si>
    <t>숙소</t>
  </si>
  <si>
    <t>호텔 3박</t>
  </si>
  <si>
    <t>공동</t>
  </si>
  <si>
    <t>2026-07-10</t>
  </si>
  <si>
    <t>교통</t>
  </si>
  <si>
    <t>나리타 익스프레스</t>
  </si>
  <si>
    <t>¥12000</t>
  </si>
  <si>
    <t>식당</t>
  </si>
  <si>
    <t>첫날 이자카야</t>
  </si>
  <si>
    <t>¥18400</t>
  </si>
  <si>
    <t>2026-07-11</t>
  </si>
  <si>
    <t>카페</t>
  </si>
  <si>
    <t>긴자 카페</t>
  </si>
  <si>
    <t>¥2600</t>
  </si>
  <si>
    <t>관광</t>
  </si>
  <si>
    <t>디즈니랜드 입장</t>
  </si>
  <si>
    <t>¥37600</t>
  </si>
  <si>
    <t>2026-07-12</t>
  </si>
  <si>
    <t>마트</t>
  </si>
  <si>
    <t>돈키호테 장보기</t>
  </si>
  <si>
    <t>¥8900</t>
  </si>
  <si>
    <t>기념품</t>
  </si>
  <si>
    <t>선물 세트</t>
  </si>
  <si>
    <t>¥14500</t>
  </si>
  <si>
    <t>2026-07-13</t>
  </si>
  <si>
    <t>마지막 스시</t>
  </si>
  <si>
    <t>¥22000</t>
  </si>
  <si>
    <t>2026-07-09</t>
  </si>
  <si>
    <t>찬조</t>
  </si>
  <si>
    <t>엄마 여행비 보태주심</t>
  </si>
  <si>
    <t>※ 멤버 열의 1 = 그 지출에 참여(비용 분담). 부호: 지출 1, 찬조 -1, 회비 0. 인원은 참여자 수(회비는 1로 처리).</t>
  </si>
  <si>
    <t>도쿄 3박4일 · 정산 요약</t>
  </si>
  <si>
    <t>모인 돈</t>
  </si>
  <si>
    <t>쓴 돈</t>
  </si>
  <si>
    <t>남은 돈</t>
  </si>
  <si>
    <t>이름</t>
  </si>
  <si>
    <t>낸 회비</t>
  </si>
  <si>
    <t>개인 결제</t>
  </si>
  <si>
    <t>부담액</t>
  </si>
  <si>
    <t>정산 (받을+/낼-)</t>
  </si>
  <si>
    <t>합계</t>
  </si>
  <si>
    <t>· 정산: 양수=돌려받을 돈, 음수=더 낼 돈   · 부담액=각 지출을 참여자 수로 나눈 몫의 합 (찬조는 부담을 줄임)</t>
  </si>
  <si>
    <t>항목별 지출 합계</t>
  </si>
  <si>
    <t>금액</t>
  </si>
  <si>
    <t>비율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</si>
</sst>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원&quot;"/>
    <numFmt numFmtId="165" formatCode="#,##0&quot;원&quot;;[Red]\-#,##0&quot;원&quot;"/>
    <numFmt numFmtId="166" formatCode="0.0%"/>
  </numFmts>
  <fonts count="13" x14ac:knownFonts="1">
    <font>
      <color theme="1"/>
      <family val="2"/>
      <scheme val="minor"/>
      <sz val="11"/>
      <name val="Calibri"/>
    </font>
    <font>
      <b/>
      <color rgb="FFFFFFFF"/>
      <sz val="10"/>
      <name val="맑은 고딕"/>
    </font>
    <font>
      <color rgb="FF26221E"/>
      <sz val="10"/>
      <name val="맑은 고딕"/>
    </font>
    <font>
      <color rgb="FFA9A196"/>
      <sz val="9"/>
      <name val="맑은 고딕"/>
    </font>
    <font>
      <b/>
      <color rgb="FF26221E"/>
      <sz val="16"/>
      <name val="맑은 고딕"/>
    </font>
    <font>
      <color rgb="FF7D746A"/>
      <sz val="9"/>
      <name val="맑은 고딕"/>
    </font>
    <font>
      <b/>
      <color rgb="FF26221E"/>
      <sz val="13"/>
      <name val="맑은 고딕"/>
    </font>
    <font>
      <b/>
      <color rgb="FF3F6B4D"/>
      <sz val="13"/>
      <name val="맑은 고딕"/>
    </font>
    <font>
      <b/>
      <color rgb="FF26221E"/>
      <sz val="10"/>
      <name val="맑은 고딕"/>
    </font>
    <font>
      <b/>
      <color rgb="FF7D746A"/>
      <sz val="10"/>
      <name val="맑은 고딕"/>
    </font>
    <font>
      <b/>
      <color rgb="FF26221E"/>
      <sz val="14"/>
      <name val="맑은 고딕"/>
    </font>
    <font>
      <sz val="10"/>
      <name val="맑은 고딕"/>
    </font>
    <font>
      <b/>
      <color rgb="FF3F6B4D"/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3F6B4D"/>
      </patternFill>
    </fill>
    <fill>
      <patternFill patternType="solid">
        <fgColor rgb="FFEAF0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/>
    </xf>
    <xf numFmtId="165" fontId="6" fillId="3" borderId="0" xfId="0" applyNumberFormat="1" applyFont="1" applyFill="1" applyAlignment="1">
      <alignment horizontal="center"/>
    </xf>
    <xf numFmtId="165" fontId="7" fillId="3" borderId="0" xfId="0" applyNumberFormat="1" applyFont="1" applyFill="1" applyAlignment="1">
      <alignment horizontal="center"/>
    </xf>
    <xf numFmtId="0" fontId="8" fillId="0" borderId="0" xfId="0" applyFont="1"/>
    <xf numFmtId="165" fontId="2" fillId="0" borderId="1" xfId="0" applyNumberFormat="1" applyFont="1" applyBorder="1" applyAlignment="1">
      <alignment horizontal="right"/>
    </xf>
    <xf numFmtId="0" fontId="9" fillId="0" borderId="0" xfId="0" applyFont="1"/>
    <xf numFmtId="164" fontId="9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0" fontId="5" fillId="0" borderId="0" xfId="0" applyFont="1"/>
    <xf numFmtId="0" fontId="10" fillId="0" borderId="0" xfId="0" applyFont="1"/>
    <xf numFmtId="0" fontId="1" fillId="2" borderId="0" xfId="0" applyFont="1" applyFill="1" applyAlignment="1">
      <alignment horizontal="center"/>
    </xf>
    <xf numFmtId="164" fontId="11" fillId="0" borderId="1" xfId="0" applyNumberFormat="1" applyFont="1" applyBorder="1" applyAlignment="1">
      <alignment horizontal="right"/>
    </xf>
    <xf numFmtId="166" fontId="11" fillId="0" borderId="1" xfId="0" applyNumberFormat="1" applyFont="1" applyBorder="1" applyAlignment="1">
      <alignment horizontal="right"/>
    </xf>
    <xf numFmtId="164" fontId="1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7" customWidth="1"/>
    <col min="3" max="3" width="8" customWidth="1"/>
    <col min="4" max="4" width="18" customWidth="1"/>
    <col min="5" max="5" width="8" customWidth="1"/>
    <col min="6" max="6" width="12" customWidth="1"/>
    <col min="7" max="7" width="8" customWidth="1"/>
    <col min="8" max="13" width="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14</v>
      </c>
      <c r="E2" s="2" t="s">
        <v>15</v>
      </c>
      <c r="F2" s="3">
        <v>300000</v>
      </c>
      <c r="G2" s="2" t="s">
        <v>8</v>
      </c>
      <c r="H2" s="4">
        <f>MAX(1,SUM(I2:L2))</f>
        <v>1</v>
      </c>
      <c r="I2" s="4"/>
      <c r="J2" s="4"/>
      <c r="K2" s="4"/>
      <c r="L2" s="4"/>
      <c r="M2" s="4">
        <v>0</v>
      </c>
    </row>
    <row r="3" spans="1:13" x14ac:dyDescent="0.25">
      <c r="A3" s="2" t="s">
        <v>13</v>
      </c>
      <c r="B3" s="2" t="s">
        <v>14</v>
      </c>
      <c r="C3" s="2" t="s">
        <v>15</v>
      </c>
      <c r="D3" s="2" t="s">
        <v>14</v>
      </c>
      <c r="E3" s="2" t="s">
        <v>15</v>
      </c>
      <c r="F3" s="3">
        <v>300000</v>
      </c>
      <c r="G3" s="2" t="s">
        <v>9</v>
      </c>
      <c r="H3" s="4">
        <f>MAX(1,SUM(I3:L3))</f>
        <v>1</v>
      </c>
      <c r="I3" s="4"/>
      <c r="J3" s="4"/>
      <c r="K3" s="4"/>
      <c r="L3" s="4"/>
      <c r="M3" s="4">
        <v>0</v>
      </c>
    </row>
    <row r="4" spans="1:13" x14ac:dyDescent="0.25">
      <c r="A4" s="2" t="s">
        <v>13</v>
      </c>
      <c r="B4" s="2" t="s">
        <v>14</v>
      </c>
      <c r="C4" s="2" t="s">
        <v>15</v>
      </c>
      <c r="D4" s="2" t="s">
        <v>14</v>
      </c>
      <c r="E4" s="2" t="s">
        <v>15</v>
      </c>
      <c r="F4" s="3">
        <v>300000</v>
      </c>
      <c r="G4" s="2" t="s">
        <v>10</v>
      </c>
      <c r="H4" s="4">
        <f>MAX(1,SUM(I4:L4))</f>
        <v>1</v>
      </c>
      <c r="I4" s="4"/>
      <c r="J4" s="4"/>
      <c r="K4" s="4"/>
      <c r="L4" s="4"/>
      <c r="M4" s="4">
        <v>0</v>
      </c>
    </row>
    <row r="5" spans="1:13" x14ac:dyDescent="0.25">
      <c r="A5" s="2" t="s">
        <v>13</v>
      </c>
      <c r="B5" s="2" t="s">
        <v>14</v>
      </c>
      <c r="C5" s="2" t="s">
        <v>15</v>
      </c>
      <c r="D5" s="2" t="s">
        <v>14</v>
      </c>
      <c r="E5" s="2" t="s">
        <v>15</v>
      </c>
      <c r="F5" s="3">
        <v>300000</v>
      </c>
      <c r="G5" s="2" t="s">
        <v>11</v>
      </c>
      <c r="H5" s="4">
        <f>MAX(1,SUM(I5:L5))</f>
        <v>1</v>
      </c>
      <c r="I5" s="4"/>
      <c r="J5" s="4"/>
      <c r="K5" s="4"/>
      <c r="L5" s="4"/>
      <c r="M5" s="4">
        <v>0</v>
      </c>
    </row>
    <row r="6" spans="1:13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15</v>
      </c>
      <c r="F6" s="6">
        <v>640000</v>
      </c>
      <c r="G6" s="5" t="s">
        <v>20</v>
      </c>
      <c r="H6" s="7">
        <f>MAX(1,SUM(I6:L6))</f>
        <v>4</v>
      </c>
      <c r="I6" s="7">
        <v>1</v>
      </c>
      <c r="J6" s="7">
        <v>1</v>
      </c>
      <c r="K6" s="7">
        <v>1</v>
      </c>
      <c r="L6" s="7">
        <v>1</v>
      </c>
      <c r="M6" s="7">
        <v>1</v>
      </c>
    </row>
    <row r="7" spans="1:13" x14ac:dyDescent="0.25">
      <c r="A7" s="5" t="s">
        <v>21</v>
      </c>
      <c r="B7" s="5" t="s">
        <v>17</v>
      </c>
      <c r="C7" s="5" t="s">
        <v>22</v>
      </c>
      <c r="D7" s="5" t="s">
        <v>23</v>
      </c>
      <c r="E7" s="5" t="s">
        <v>24</v>
      </c>
      <c r="F7" s="6">
        <v>110400</v>
      </c>
      <c r="G7" s="5" t="s">
        <v>20</v>
      </c>
      <c r="H7" s="7">
        <f>MAX(1,SUM(I7:L7))</f>
        <v>4</v>
      </c>
      <c r="I7" s="7">
        <v>1</v>
      </c>
      <c r="J7" s="7">
        <v>1</v>
      </c>
      <c r="K7" s="7">
        <v>1</v>
      </c>
      <c r="L7" s="7">
        <v>1</v>
      </c>
      <c r="M7" s="7">
        <v>1</v>
      </c>
    </row>
    <row r="8" spans="1:13" x14ac:dyDescent="0.25">
      <c r="A8" s="5" t="s">
        <v>21</v>
      </c>
      <c r="B8" s="5" t="s">
        <v>17</v>
      </c>
      <c r="C8" s="5" t="s">
        <v>25</v>
      </c>
      <c r="D8" s="5" t="s">
        <v>26</v>
      </c>
      <c r="E8" s="5" t="s">
        <v>27</v>
      </c>
      <c r="F8" s="6">
        <v>169280</v>
      </c>
      <c r="G8" s="5" t="s">
        <v>20</v>
      </c>
      <c r="H8" s="7">
        <f>MAX(1,SUM(I8:L8))</f>
        <v>4</v>
      </c>
      <c r="I8" s="7">
        <v>1</v>
      </c>
      <c r="J8" s="7">
        <v>1</v>
      </c>
      <c r="K8" s="7">
        <v>1</v>
      </c>
      <c r="L8" s="7">
        <v>1</v>
      </c>
      <c r="M8" s="7">
        <v>1</v>
      </c>
    </row>
    <row r="9" spans="1:13" x14ac:dyDescent="0.25">
      <c r="A9" s="5" t="s">
        <v>28</v>
      </c>
      <c r="B9" s="5" t="s">
        <v>17</v>
      </c>
      <c r="C9" s="5" t="s">
        <v>29</v>
      </c>
      <c r="D9" s="5" t="s">
        <v>30</v>
      </c>
      <c r="E9" s="5" t="s">
        <v>31</v>
      </c>
      <c r="F9" s="6">
        <v>23920</v>
      </c>
      <c r="G9" s="5" t="s">
        <v>20</v>
      </c>
      <c r="H9" s="7">
        <f>MAX(1,SUM(I9:L9))</f>
        <v>2</v>
      </c>
      <c r="I9" s="7"/>
      <c r="J9" s="7">
        <v>1</v>
      </c>
      <c r="K9" s="7">
        <v>1</v>
      </c>
      <c r="L9" s="7"/>
      <c r="M9" s="7">
        <v>1</v>
      </c>
    </row>
    <row r="10" spans="1:13" x14ac:dyDescent="0.25">
      <c r="A10" s="5" t="s">
        <v>28</v>
      </c>
      <c r="B10" s="5" t="s">
        <v>17</v>
      </c>
      <c r="C10" s="5" t="s">
        <v>32</v>
      </c>
      <c r="D10" s="5" t="s">
        <v>33</v>
      </c>
      <c r="E10" s="5" t="s">
        <v>34</v>
      </c>
      <c r="F10" s="6">
        <v>345920</v>
      </c>
      <c r="G10" s="5" t="s">
        <v>20</v>
      </c>
      <c r="H10" s="7">
        <f>MAX(1,SUM(I10:L10))</f>
        <v>4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</row>
    <row r="11" spans="1:13" x14ac:dyDescent="0.25">
      <c r="A11" s="5" t="s">
        <v>35</v>
      </c>
      <c r="B11" s="5" t="s">
        <v>17</v>
      </c>
      <c r="C11" s="5" t="s">
        <v>36</v>
      </c>
      <c r="D11" s="5" t="s">
        <v>37</v>
      </c>
      <c r="E11" s="5" t="s">
        <v>38</v>
      </c>
      <c r="F11" s="6">
        <v>81880</v>
      </c>
      <c r="G11" s="5" t="s">
        <v>20</v>
      </c>
      <c r="H11" s="7">
        <f>MAX(1,SUM(I11:L11))</f>
        <v>4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</row>
    <row r="12" spans="1:13" x14ac:dyDescent="0.25">
      <c r="A12" s="5" t="s">
        <v>35</v>
      </c>
      <c r="B12" s="5" t="s">
        <v>17</v>
      </c>
      <c r="C12" s="5" t="s">
        <v>39</v>
      </c>
      <c r="D12" s="5" t="s">
        <v>40</v>
      </c>
      <c r="E12" s="5" t="s">
        <v>41</v>
      </c>
      <c r="F12" s="6">
        <v>133400</v>
      </c>
      <c r="G12" s="5" t="s">
        <v>11</v>
      </c>
      <c r="H12" s="7">
        <f>MAX(1,SUM(I12:L12))</f>
        <v>4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</row>
    <row r="13" spans="1:13" x14ac:dyDescent="0.25">
      <c r="A13" s="5" t="s">
        <v>42</v>
      </c>
      <c r="B13" s="5" t="s">
        <v>17</v>
      </c>
      <c r="C13" s="5" t="s">
        <v>25</v>
      </c>
      <c r="D13" s="5" t="s">
        <v>43</v>
      </c>
      <c r="E13" s="5" t="s">
        <v>44</v>
      </c>
      <c r="F13" s="6">
        <v>202400</v>
      </c>
      <c r="G13" s="5" t="s">
        <v>20</v>
      </c>
      <c r="H13" s="7">
        <f>MAX(1,SUM(I13:L13))</f>
        <v>4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</row>
    <row r="14" spans="1:13" x14ac:dyDescent="0.25">
      <c r="A14" s="5" t="s">
        <v>45</v>
      </c>
      <c r="B14" s="5" t="s">
        <v>46</v>
      </c>
      <c r="C14" s="5" t="s">
        <v>15</v>
      </c>
      <c r="D14" s="5" t="s">
        <v>47</v>
      </c>
      <c r="E14" s="5" t="s">
        <v>15</v>
      </c>
      <c r="F14" s="6">
        <v>200000</v>
      </c>
      <c r="G14" s="5" t="s">
        <v>15</v>
      </c>
      <c r="H14" s="7">
        <f>MAX(1,SUM(I14:L14))</f>
        <v>4</v>
      </c>
      <c r="I14" s="7">
        <v>1</v>
      </c>
      <c r="J14" s="7">
        <v>1</v>
      </c>
      <c r="K14" s="7">
        <v>1</v>
      </c>
      <c r="L14" s="7">
        <v>1</v>
      </c>
      <c r="M14" s="7">
        <v>-1</v>
      </c>
    </row>
    <row r="16" spans="1:1" x14ac:dyDescent="0.25">
      <c r="A16" s="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12" customWidth="1"/>
    <col min="3" max="5" width="14" customWidth="1"/>
    <col min="6" max="6" width="18" customWidth="1"/>
  </cols>
  <sheetData>
    <row r="2" spans="2:2" x14ac:dyDescent="0.25">
      <c r="B2" s="9" t="s">
        <v>49</v>
      </c>
    </row>
    <row r="4" spans="2:4" x14ac:dyDescent="0.25">
      <c r="B4" s="10" t="s">
        <v>50</v>
      </c>
      <c r="C4" s="10" t="s">
        <v>51</v>
      </c>
      <c r="D4" s="10" t="s">
        <v>52</v>
      </c>
    </row>
    <row r="5" spans="2:4" x14ac:dyDescent="0.25">
      <c r="B5" s="11">
        <f>SUMIFS(내역!F:F,내역!B:B,"회비")+SUMIFS(내역!F:F,내역!B:B,"찬조")</f>
        <v>1400000</v>
      </c>
      <c r="C5" s="11">
        <f>SUMIFS(내역!F:F,내역!B:B,"지출")</f>
        <v>1707200</v>
      </c>
      <c r="D5" s="12">
        <f>B5-SUMIFS(내역!F:F,내역!B:B,"지출",내역!G:G,"공동")</f>
        <v>-173800</v>
      </c>
    </row>
    <row r="7" spans="2:6" x14ac:dyDescent="0.25"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</row>
    <row r="8" spans="2:6" x14ac:dyDescent="0.25">
      <c r="B8" s="13" t="s">
        <v>8</v>
      </c>
      <c r="C8" s="6">
        <f>0+0+SUMIFS(내역!$F:$F,내역!$B:$B,"회비",내역!$G:$G,"다현")</f>
        <v>300000</v>
      </c>
      <c r="D8" s="6">
        <f>SUMIFS(내역!$F:$F,내역!$B:$B,"지출",내역!$G:$G,"다현")</f>
        <v>0</v>
      </c>
      <c r="E8" s="6">
        <f>SUMPRODUCT(내역!$I$2:$I$14,내역!$F$2:$F$14/내역!$H$2:$H$14,내역!$M$2:$M$14)</f>
        <v>370820</v>
      </c>
      <c r="F8" s="14">
        <f>C8+D8-E8</f>
        <v>-70820</v>
      </c>
    </row>
    <row r="9" spans="2:6" x14ac:dyDescent="0.25">
      <c r="B9" s="13" t="s">
        <v>9</v>
      </c>
      <c r="C9" s="6">
        <f>0+0+SUMIFS(내역!$F:$F,내역!$B:$B,"회비",내역!$G:$G,"지은")</f>
        <v>300000</v>
      </c>
      <c r="D9" s="6">
        <f>SUMIFS(내역!$F:$F,내역!$B:$B,"지출",내역!$G:$G,"지은")</f>
        <v>0</v>
      </c>
      <c r="E9" s="6">
        <f>SUMPRODUCT(내역!$J$2:$J$14,내역!$F$2:$F$14/내역!$H$2:$H$14,내역!$M$2:$M$14)</f>
        <v>382780</v>
      </c>
      <c r="F9" s="14">
        <f>C9+D9-E9</f>
        <v>-82780</v>
      </c>
    </row>
    <row r="10" spans="2:6" x14ac:dyDescent="0.25">
      <c r="B10" s="13" t="s">
        <v>10</v>
      </c>
      <c r="C10" s="6">
        <f>0+0+SUMIFS(내역!$F:$F,내역!$B:$B,"회비",내역!$G:$G,"서준")</f>
        <v>300000</v>
      </c>
      <c r="D10" s="6">
        <f>SUMIFS(내역!$F:$F,내역!$B:$B,"지출",내역!$G:$G,"서준")</f>
        <v>0</v>
      </c>
      <c r="E10" s="6">
        <f>SUMPRODUCT(내역!$K$2:$K$14,내역!$F$2:$F$14/내역!$H$2:$H$14,내역!$M$2:$M$14)</f>
        <v>382780</v>
      </c>
      <c r="F10" s="14">
        <f>C10+D10-E10</f>
        <v>-82780</v>
      </c>
    </row>
    <row r="11" spans="2:6" x14ac:dyDescent="0.25">
      <c r="B11" s="13" t="s">
        <v>11</v>
      </c>
      <c r="C11" s="6">
        <f>0+0+SUMIFS(내역!$F:$F,내역!$B:$B,"회비",내역!$G:$G,"하윤")</f>
        <v>300000</v>
      </c>
      <c r="D11" s="6">
        <f>SUMIFS(내역!$F:$F,내역!$B:$B,"지출",내역!$G:$G,"하윤")</f>
        <v>133400</v>
      </c>
      <c r="E11" s="6">
        <f>SUMPRODUCT(내역!$L$2:$L$14,내역!$F$2:$F$14/내역!$H$2:$H$14,내역!$M$2:$M$14)</f>
        <v>370820</v>
      </c>
      <c r="F11" s="14">
        <f>C11+D11-E11</f>
        <v>62580</v>
      </c>
    </row>
    <row r="12" spans="2:6" x14ac:dyDescent="0.25">
      <c r="B12" s="15" t="s">
        <v>58</v>
      </c>
      <c r="C12" s="16">
        <f>SUM(C8:C11)</f>
        <v>1200000</v>
      </c>
      <c r="D12" s="16">
        <f>SUM(D8:D11)</f>
        <v>133400</v>
      </c>
      <c r="E12" s="16">
        <f>SUM(E8:E11)</f>
        <v>1507200</v>
      </c>
      <c r="F12" s="17">
        <f>SUM(F8:F11)</f>
        <v>-173800</v>
      </c>
    </row>
    <row r="14" spans="2:2" x14ac:dyDescent="0.25">
      <c r="B14" s="18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12" customWidth="1"/>
    <col min="3" max="3" width="14" customWidth="1"/>
    <col min="4" max="4" width="10" customWidth="1"/>
  </cols>
  <sheetData>
    <row r="2" spans="2:2" x14ac:dyDescent="0.25">
      <c r="B2" s="19" t="s">
        <v>60</v>
      </c>
    </row>
    <row r="4" spans="2:4" x14ac:dyDescent="0.25">
      <c r="B4" s="20" t="s">
        <v>2</v>
      </c>
      <c r="C4" s="20" t="s">
        <v>61</v>
      </c>
      <c r="D4" s="20" t="s">
        <v>62</v>
      </c>
    </row>
    <row r="5" spans="2:4" x14ac:dyDescent="0.25">
      <c r="B5" s="5" t="s">
        <v>18</v>
      </c>
      <c r="C5" s="21">
        <f>SUMIFS(내역!F:F,내역!B:B,"지출",내역!C:C,"숙소")</f>
        <v>640000</v>
      </c>
      <c r="D5" s="22">
        <f>C5/$C$12</f>
        <v>0.37488284910965325</v>
      </c>
    </row>
    <row r="6" spans="2:4" x14ac:dyDescent="0.25">
      <c r="B6" s="5" t="s">
        <v>22</v>
      </c>
      <c r="C6" s="21">
        <f>SUMIFS(내역!F:F,내역!B:B,"지출",내역!C:C,"교통")</f>
        <v>110400</v>
      </c>
      <c r="D6" s="22">
        <f>C6/$C$12</f>
        <v>0.06466729147141519</v>
      </c>
    </row>
    <row r="7" spans="2:4" x14ac:dyDescent="0.25">
      <c r="B7" s="5" t="s">
        <v>25</v>
      </c>
      <c r="C7" s="21">
        <f>SUMIFS(내역!F:F,내역!B:B,"지출",내역!C:C,"식당")</f>
        <v>371680</v>
      </c>
      <c r="D7" s="22">
        <f>C7/$C$12</f>
        <v>0.2177132146204311</v>
      </c>
    </row>
    <row r="8" spans="2:4" x14ac:dyDescent="0.25">
      <c r="B8" s="5" t="s">
        <v>29</v>
      </c>
      <c r="C8" s="21">
        <f>SUMIFS(내역!F:F,내역!B:B,"지출",내역!C:C,"카페")</f>
        <v>23920</v>
      </c>
      <c r="D8" s="22">
        <f>C8/$C$12</f>
        <v>0.01401124648547329</v>
      </c>
    </row>
    <row r="9" spans="2:4" x14ac:dyDescent="0.25">
      <c r="B9" s="5" t="s">
        <v>32</v>
      </c>
      <c r="C9" s="21">
        <f>SUMIFS(내역!F:F,내역!B:B,"지출",내역!C:C,"관광")</f>
        <v>345920</v>
      </c>
      <c r="D9" s="22">
        <f>C9/$C$12</f>
        <v>0.20262417994376758</v>
      </c>
    </row>
    <row r="10" spans="2:4" x14ac:dyDescent="0.25">
      <c r="B10" s="5" t="s">
        <v>36</v>
      </c>
      <c r="C10" s="21">
        <f>SUMIFS(내역!F:F,내역!B:B,"지출",내역!C:C,"마트")</f>
        <v>81880</v>
      </c>
      <c r="D10" s="22">
        <f>C10/$C$12</f>
        <v>0.04796157450796626</v>
      </c>
    </row>
    <row r="11" spans="2:4" x14ac:dyDescent="0.25">
      <c r="B11" s="5" t="s">
        <v>39</v>
      </c>
      <c r="C11" s="21">
        <f>SUMIFS(내역!F:F,내역!B:B,"지출",내역!C:C,"기념품")</f>
        <v>133400</v>
      </c>
      <c r="D11" s="22">
        <f>C11/$C$12</f>
        <v>0.07813964386129335</v>
      </c>
    </row>
    <row r="12" spans="2:3" x14ac:dyDescent="0.25">
      <c r="B12" s="15" t="s">
        <v>58</v>
      </c>
      <c r="C12" s="23">
        <f>SUM(C5:C11)</f>
        <v>1707200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내역</vt:lpstr>
      <vt:lpstr>정산 요약</vt:lpstr>
      <vt:lpstr>항목별 합계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2026-07-20T23:38:34Z</dcterms:created>
  <dcterms:modified xsi:type="dcterms:W3CDTF">2026-07-20T23:38:34Z</dcterms:modified>
</cp:coreProperties>
</file>